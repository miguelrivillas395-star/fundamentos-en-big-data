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ergi\Downloads\"/>
    </mc:Choice>
  </mc:AlternateContent>
  <xr:revisionPtr revIDLastSave="0" documentId="13_ncr:1_{6BBB036F-FBA6-41B8-9F8F-8F8FAEBCD9AE}" xr6:coauthVersionLast="47" xr6:coauthVersionMax="47" xr10:uidLastSave="{00000000-0000-0000-0000-000000000000}"/>
  <bookViews>
    <workbookView xWindow="60" yWindow="30" windowWidth="28740" windowHeight="15450" activeTab="1" xr2:uid="{00000000-000D-0000-FFFF-FFFF00000000}"/>
  </bookViews>
  <sheets>
    <sheet name="CMI_2024" sheetId="2" r:id="rId1"/>
    <sheet name="Dasbo" sheetId="1" r:id="rId2"/>
  </sheets>
  <definedNames>
    <definedName name="DatosExternos_1" localSheetId="0" hidden="1">CMI_2024!$A$4:$I$12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5B2637-D505-4BC7-9C4E-E315822BCCB6}" keepAlive="1" name="Consulta - CMI_Gaseosas_Poderosas_2024" description="Conexión a la consulta 'CMI_Gaseosas_Poderosas_2024' en el libro." type="5" refreshedVersion="8" background="1" saveData="1">
    <dbPr connection="Provider=Microsoft.Mashup.OleDb.1;Data Source=$Workbook$;Location=CMI_Gaseosas_Poderosas_2024;Extended Properties=&quot;&quot;" command="SELECT * FROM [CMI_Gaseosas_Poderosas_2024]"/>
  </connection>
</connections>
</file>

<file path=xl/sharedStrings.xml><?xml version="1.0" encoding="utf-8"?>
<sst xmlns="http://schemas.openxmlformats.org/spreadsheetml/2006/main" count="131" uniqueCount="112">
  <si>
    <t>PERSPECTIVA</t>
  </si>
  <si>
    <t>OBJETIVO ESTRATEGICO</t>
  </si>
  <si>
    <t>KPI/INDICADOR</t>
  </si>
  <si>
    <t>RESULTADO 2022</t>
  </si>
  <si>
    <t>RESULTADO 2023</t>
  </si>
  <si>
    <t>VARIACION %</t>
  </si>
  <si>
    <t>META 2024</t>
  </si>
  <si>
    <t>ACCION A REALIZAR</t>
  </si>
  <si>
    <t>RESPONSABLE</t>
  </si>
  <si>
    <t>FINANCIERA</t>
  </si>
  <si>
    <t>Incrementar rentabilidad y crecimiento de ingresos</t>
  </si>
  <si>
    <t>Incremento Total de Ingresos</t>
  </si>
  <si>
    <t>Ampliar líneas de productos rentables</t>
  </si>
  <si>
    <t>Director Comercial</t>
  </si>
  <si>
    <t>Participación de Mercado MANZALOCA</t>
  </si>
  <si>
    <t>42.81%</t>
  </si>
  <si>
    <t>26.42%</t>
  </si>
  <si>
    <t>35%</t>
  </si>
  <si>
    <t>Campaña de reposicionamiento MANZALOCA</t>
  </si>
  <si>
    <t>Gerente Marketing</t>
  </si>
  <si>
    <t>CLIENTE</t>
  </si>
  <si>
    <t>Expandir cobertura territorial y satisfacción</t>
  </si>
  <si>
    <t>Top 5 Municipios Mejor Desempeño</t>
  </si>
  <si>
    <t>$0</t>
  </si>
  <si>
    <t>∞</t>
  </si>
  <si>
    <t>Fortalecer distribución en municipios clave</t>
  </si>
  <si>
    <t>Gerente Regional</t>
  </si>
  <si>
    <t>Expansión Territorial Primer Trimestre</t>
  </si>
  <si>
    <t>2 municipios</t>
  </si>
  <si>
    <t>930 municipios</t>
  </si>
  <si>
    <t>+928 municipios</t>
  </si>
  <si>
    <t>Abrir nuevos puntos de distribución</t>
  </si>
  <si>
    <t>Director Expansión</t>
  </si>
  <si>
    <t>PROCESOS INTERNOS</t>
  </si>
  <si>
    <t>Optimizar eficiencia operacional regional</t>
  </si>
  <si>
    <t>Eficiencia Regional Promedio</t>
  </si>
  <si>
    <t>-17%</t>
  </si>
  <si>
    <t>Optimizar procesos operativos regionales</t>
  </si>
  <si>
    <t>Gerente Operaciones</t>
  </si>
  <si>
    <t>Rendimiento Primer Trimestre</t>
  </si>
  <si>
    <t>Mantener ritmo de crecimiento trimestral</t>
  </si>
  <si>
    <t>Director Operaciones</t>
  </si>
  <si>
    <t>APRENDIZAJE Y CRECIMIENTO</t>
  </si>
  <si>
    <t>Fortalecer capacidades en mercados específicos</t>
  </si>
  <si>
    <t>Desempeño NARANJITA Región Caribe</t>
  </si>
  <si>
    <t>0 unidades</t>
  </si>
  <si>
    <t>Capacitación equipo ventas Región Caribe</t>
  </si>
  <si>
    <t>Gerente RRHH</t>
  </si>
  <si>
    <t>Productos con Incremento Cantidades</t>
  </si>
  <si>
    <t>467 unidades</t>
  </si>
  <si>
    <t>Optimizar cadena de suministro</t>
  </si>
  <si>
    <t>Director Producción</t>
  </si>
  <si>
    <t>CUADRO DE MANDO INTEGRAL - GASEOSAS PODEROSAS S.A.</t>
  </si>
  <si>
    <t xml:space="preserve">Período de Evaluación: 2022-2023 </t>
  </si>
  <si>
    <t>Proyección Estratégica: 2024</t>
  </si>
  <si>
    <t>Curso ET0155 Big Data - Octubre 2025</t>
  </si>
  <si>
    <t>Elaborado por: Juan Sebastian Del Rio Layos</t>
  </si>
  <si>
    <t>$1,676,739,800</t>
  </si>
  <si>
    <t>1.812.504 unidades</t>
  </si>
  <si>
    <t>47.586 unidades</t>
  </si>
  <si>
    <t>2,500.000 unidades</t>
  </si>
  <si>
    <t>60.000 unidades</t>
  </si>
  <si>
    <t>1.200 municipios</t>
  </si>
  <si>
    <t>$2,000.000.000</t>
  </si>
  <si>
    <t>4,000.000</t>
  </si>
  <si>
    <t>GRÁFICO 1: TOP 5 MUNICIPIOS 2023</t>
  </si>
  <si>
    <t>Municipio</t>
  </si>
  <si>
    <t>Total Vendido</t>
  </si>
  <si>
    <t>Betulia</t>
  </si>
  <si>
    <t>Belen</t>
  </si>
  <si>
    <t>San Sebastian</t>
  </si>
  <si>
    <t>Villeta</t>
  </si>
  <si>
    <t>Sapuyes</t>
  </si>
  <si>
    <t>Ingresos</t>
  </si>
  <si>
    <t>Bogota D.C.</t>
  </si>
  <si>
    <t>Guaviare</t>
  </si>
  <si>
    <t>Vichada</t>
  </si>
  <si>
    <t>Vaupes</t>
  </si>
  <si>
    <t>Arauca</t>
  </si>
  <si>
    <t>Departamento</t>
  </si>
  <si>
    <t>Operaciones</t>
  </si>
  <si>
    <t>COMPARATIVO ANUAL 2023-2024</t>
  </si>
  <si>
    <t>Producto</t>
  </si>
  <si>
    <t>COLOMBIANITA</t>
  </si>
  <si>
    <t>MANZALOCA</t>
  </si>
  <si>
    <t>MANGOSON</t>
  </si>
  <si>
    <t>NARANJITA</t>
  </si>
  <si>
    <t>PRODUCTOS REGIÓN PACÍFICO 2023</t>
  </si>
  <si>
    <t xml:space="preserve"> PRODUCTOS CENTRO SUR</t>
  </si>
  <si>
    <t>Cantidades</t>
  </si>
  <si>
    <t xml:space="preserve"> NARANJITA</t>
  </si>
  <si>
    <t>Ingresos (Millones)</t>
  </si>
  <si>
    <t>Año</t>
  </si>
  <si>
    <t>0.5</t>
  </si>
  <si>
    <t>INCREMENTO INGRESOS PRODUCTOS</t>
  </si>
  <si>
    <t>2023 (Millones)</t>
  </si>
  <si>
    <t>2024 (Millones)</t>
  </si>
  <si>
    <t xml:space="preserve"> 0.3</t>
  </si>
  <si>
    <t>0.2</t>
  </si>
  <si>
    <t xml:space="preserve"> Período</t>
  </si>
  <si>
    <t>Municipios Activos</t>
  </si>
  <si>
    <t>2022 Q1</t>
  </si>
  <si>
    <t>2023 Q1</t>
  </si>
  <si>
    <t>Meta 2024</t>
  </si>
  <si>
    <t>Región</t>
  </si>
  <si>
    <t>Eficiencia ($)</t>
  </si>
  <si>
    <t>Pacífico</t>
  </si>
  <si>
    <t>Centro Sur</t>
  </si>
  <si>
    <t>Eje Cafetero</t>
  </si>
  <si>
    <t>Caribe</t>
  </si>
  <si>
    <t>Llano</t>
  </si>
  <si>
    <t>Centro Oriente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</si>
</sst>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&quot;$&quot;\ #,##0.00"/>
    <numFmt numFmtId="165" formatCode="&quot;$&quot;\ 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4" tint="-0.499984740745262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2" fontId="0" fillId="3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65" fontId="0" fillId="4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10" fontId="0" fillId="2" borderId="0" xfId="0" applyNumberFormat="1" applyFill="1" applyAlignment="1">
      <alignment horizontal="center"/>
    </xf>
    <xf numFmtId="165" fontId="0" fillId="2" borderId="0" xfId="1" applyNumberFormat="1" applyFont="1" applyFill="1" applyAlignment="1">
      <alignment horizontal="center"/>
    </xf>
    <xf numFmtId="164" fontId="0" fillId="2" borderId="0" xfId="1" applyNumberFormat="1" applyFont="1" applyFill="1" applyAlignment="1">
      <alignment horizontal="center"/>
    </xf>
    <xf numFmtId="164" fontId="0" fillId="3" borderId="0" xfId="1" applyNumberFormat="1" applyFont="1" applyFill="1" applyAlignment="1">
      <alignment horizontal="center"/>
    </xf>
    <xf numFmtId="165" fontId="0" fillId="4" borderId="0" xfId="1" applyNumberFormat="1" applyFont="1" applyFill="1" applyAlignment="1">
      <alignment horizontal="center"/>
    </xf>
    <xf numFmtId="164" fontId="0" fillId="5" borderId="0" xfId="1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10" fontId="0" fillId="4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9" fontId="0" fillId="5" borderId="0" xfId="2" applyFont="1" applyFill="1" applyAlignment="1">
      <alignment horizontal="center"/>
    </xf>
    <xf numFmtId="9" fontId="0" fillId="2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3">
    <cellStyle name="Moneda" xfId="1" builtinId="4"/>
    <cellStyle name="Normal" xfId="0" builtinId="0"/>
    <cellStyle name="Porcentaje" xfId="2" builtinId="5"/>
  </cellStyles>
  <dxfs count="9">
    <dxf>
      <numFmt numFmtId="0" formatCode="General"/>
    </dxf>
    <dxf>
      <numFmt numFmtId="0" formatCode="General"/>
    </dxf>
    <dxf>
      <numFmt numFmtId="164" formatCode="&quot;$&quot;\ #,##0.00"/>
    </dxf>
    <dxf>
      <numFmt numFmtId="0" formatCode="General"/>
    </dxf>
    <dxf>
      <numFmt numFmtId="164" formatCode="&quot;$&quot;\ #,##0.00"/>
    </dxf>
    <dxf>
      <numFmt numFmtId="164" formatCode="&quot;$&quot;\ #,##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>
                <a:effectLst/>
              </a:rPr>
              <a:t>Top 5 Municipios por Ventas 2023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Dasbo!$B$2</c:f>
              <c:strCache>
                <c:ptCount val="1"/>
                <c:pt idx="0">
                  <c:v>Total Vendido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Dasbo!$A$3:$A$7</c:f>
              <c:strCache>
                <c:ptCount val="5"/>
                <c:pt idx="0">
                  <c:v>Betulia</c:v>
                </c:pt>
                <c:pt idx="1">
                  <c:v>Belen</c:v>
                </c:pt>
                <c:pt idx="2">
                  <c:v>San Sebastian</c:v>
                </c:pt>
                <c:pt idx="3">
                  <c:v>Villeta</c:v>
                </c:pt>
                <c:pt idx="4">
                  <c:v>Sapuyes</c:v>
                </c:pt>
              </c:strCache>
            </c:strRef>
          </c:cat>
          <c:val>
            <c:numRef>
              <c:f>Dasbo!$B$3:$B$7</c:f>
              <c:numCache>
                <c:formatCode>General</c:formatCode>
                <c:ptCount val="5"/>
                <c:pt idx="0">
                  <c:v>4158</c:v>
                </c:pt>
                <c:pt idx="1">
                  <c:v>3910</c:v>
                </c:pt>
                <c:pt idx="2">
                  <c:v>3690</c:v>
                </c:pt>
                <c:pt idx="3">
                  <c:v>3526</c:v>
                </c:pt>
                <c:pt idx="4">
                  <c:v>3468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E-4688-9CA0-9317FF5EC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744480"/>
        <c:axId val="155750720"/>
      </c:barChart>
      <c:catAx>
        <c:axId val="155744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750720"/>
        <c:crosses val="autoZero"/>
        <c:auto val="1"/>
        <c:lblAlgn val="ctr"/>
        <c:lblOffset val="100"/>
        <c:noMultiLvlLbl val="0"/>
      </c:catAx>
      <c:valAx>
        <c:axId val="15575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744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>
                <a:effectLst/>
              </a:rPr>
              <a:t>Departamentos Menores Ingresos 2023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Dasbo!$F$3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Dasbo!$E$4:$E$8</c:f>
              <c:strCache>
                <c:ptCount val="5"/>
                <c:pt idx="0">
                  <c:v>Bogota D.C.</c:v>
                </c:pt>
                <c:pt idx="1">
                  <c:v>Guaviare</c:v>
                </c:pt>
                <c:pt idx="2">
                  <c:v>Vichada</c:v>
                </c:pt>
                <c:pt idx="3">
                  <c:v>Vaupes</c:v>
                </c:pt>
                <c:pt idx="4">
                  <c:v>Arauca</c:v>
                </c:pt>
              </c:strCache>
            </c:strRef>
          </c:cat>
          <c:val>
            <c:numRef>
              <c:f>Dasbo!$F$4:$F$8</c:f>
              <c:numCache>
                <c:formatCode>General</c:formatCode>
                <c:ptCount val="5"/>
                <c:pt idx="0">
                  <c:v>1516200</c:v>
                </c:pt>
                <c:pt idx="1">
                  <c:v>3369600</c:v>
                </c:pt>
                <c:pt idx="2">
                  <c:v>4572600</c:v>
                </c:pt>
                <c:pt idx="3">
                  <c:v>6404600</c:v>
                </c:pt>
                <c:pt idx="4">
                  <c:v>8588800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0-4C8E-8F2E-2214B33B0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747840"/>
        <c:axId val="155760320"/>
      </c:barChart>
      <c:catAx>
        <c:axId val="15574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760320"/>
        <c:crosses val="autoZero"/>
        <c:auto val="1"/>
        <c:lblAlgn val="ctr"/>
        <c:lblOffset val="100"/>
        <c:noMultiLvlLbl val="0"/>
      </c:catAx>
      <c:valAx>
        <c:axId val="15576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74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>
                <a:effectLst/>
              </a:rPr>
              <a:t>Distribución Ingresos - Región Pacífico 2023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Dasbo!$I$4</c:f>
              <c:strCache>
                <c:ptCount val="1"/>
                <c:pt idx="0">
                  <c:v>Ingresos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D2-4BF5-B7BD-617AB1625D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D2-4BF5-B7BD-617AB1625D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D2-4BF5-B7BD-617AB1625D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5D2-4BF5-B7BD-617AB1625D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Dasbo!$H$5:$H$8</c:f>
              <c:strCache>
                <c:ptCount val="4"/>
                <c:pt idx="0">
                  <c:v>COLOMBIANITA</c:v>
                </c:pt>
                <c:pt idx="1">
                  <c:v>MANZALOCA</c:v>
                </c:pt>
                <c:pt idx="2">
                  <c:v>MANGOSON</c:v>
                </c:pt>
                <c:pt idx="3">
                  <c:v>NARANJITA</c:v>
                </c:pt>
              </c:strCache>
            </c:strRef>
          </c:cat>
          <c:val>
            <c:numRef>
              <c:f>Dasbo!$I$5:$I$8</c:f>
              <c:numCache>
                <c:formatCode>General</c:formatCode>
                <c:ptCount val="4"/>
                <c:pt idx="0">
                  <c:v>89481600</c:v>
                </c:pt>
                <c:pt idx="1">
                  <c:v>77712000</c:v>
                </c:pt>
                <c:pt idx="2">
                  <c:v>67008600</c:v>
                </c:pt>
                <c:pt idx="3">
                  <c:v>43413600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2F-4DC6-93C8-109C7F5CB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Dasbo!$K$5</c:f>
              <c:strCache>
                <c:ptCount val="1"/>
                <c:pt idx="0">
                  <c:v> NARANJITA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Dasbo!$L$4</c:f>
              <c:strCache>
                <c:ptCount val="1"/>
                <c:pt idx="0">
                  <c:v>Cantidades</c:v>
                </c:pt>
              </c:strCache>
            </c:strRef>
          </c:cat>
          <c:val>
            <c:numRef>
              <c:f>Dasbo!$L$5</c:f>
              <c:numCache>
                <c:formatCode>General</c:formatCode>
                <c:ptCount val="1"/>
                <c:pt idx="0">
                  <c:v>59942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03-4907-A58F-33F29A71DBF7}"/>
            </c:ext>
          </c:extLst>
        </c:ser>
        <c:ser>
          <c:idx val="1"/>
          <c:order val="1"/>
          <c:tx>
            <c:strRef>
              <c:f>Dasbo!$K$6</c:f>
              <c:strCache>
                <c:ptCount val="1"/>
                <c:pt idx="0">
                  <c:v>COLOMBIANITA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Dasbo!$L$4</c:f>
              <c:strCache>
                <c:ptCount val="1"/>
                <c:pt idx="0">
                  <c:v>Cantidades</c:v>
                </c:pt>
              </c:strCache>
            </c:strRef>
          </c:cat>
          <c:val>
            <c:numRef>
              <c:f>Dasbo!$L$6</c:f>
              <c:numCache>
                <c:formatCode>General</c:formatCode>
                <c:ptCount val="1"/>
                <c:pt idx="0">
                  <c:v>55368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03-4907-A58F-33F29A71DBF7}"/>
            </c:ext>
          </c:extLst>
        </c:ser>
        <c:ser>
          <c:idx val="2"/>
          <c:order val="2"/>
          <c:tx>
            <c:strRef>
              <c:f>Dasbo!$K$7</c:f>
              <c:strCache>
                <c:ptCount val="1"/>
                <c:pt idx="0">
                  <c:v>MANZALOCA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Dasbo!$L$4</c:f>
              <c:strCache>
                <c:ptCount val="1"/>
                <c:pt idx="0">
                  <c:v>Cantidades</c:v>
                </c:pt>
              </c:strCache>
            </c:strRef>
          </c:cat>
          <c:val>
            <c:numRef>
              <c:f>Dasbo!$L$7</c:f>
              <c:numCache>
                <c:formatCode>General</c:formatCode>
                <c:ptCount val="1"/>
                <c:pt idx="0">
                  <c:v>53576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03-4907-A58F-33F29A71DBF7}"/>
            </c:ext>
          </c:extLst>
        </c:ser>
        <c:ser>
          <c:idx val="3"/>
          <c:order val="3"/>
          <c:tx>
            <c:strRef>
              <c:f>Dasbo!$K$8</c:f>
              <c:strCache>
                <c:ptCount val="1"/>
                <c:pt idx="0">
                  <c:v>MANGOSON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Dasbo!$L$4</c:f>
              <c:strCache>
                <c:ptCount val="1"/>
                <c:pt idx="0">
                  <c:v>Cantidades</c:v>
                </c:pt>
              </c:strCache>
            </c:strRef>
          </c:cat>
          <c:val>
            <c:numRef>
              <c:f>Dasbo!$L$8</c:f>
              <c:numCache>
                <c:formatCode>General</c:formatCode>
                <c:ptCount val="1"/>
                <c:pt idx="0">
                  <c:v>49798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03-4907-A58F-33F29A71D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6443488"/>
        <c:axId val="2076443008"/>
      </c:barChart>
      <c:catAx>
        <c:axId val="2076443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76443008"/>
        <c:crosses val="autoZero"/>
        <c:auto val="1"/>
        <c:lblAlgn val="ctr"/>
        <c:lblOffset val="100"/>
        <c:noMultiLvlLbl val="0"/>
      </c:catAx>
      <c:valAx>
        <c:axId val="207644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7644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>
                <a:effectLst/>
              </a:rPr>
              <a:t>Ingresos vs Operaciones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Dasbo!$N$4</c:f>
              <c:strCache>
                <c:ptCount val="1"/>
                <c:pt idx="0">
                  <c:v>Año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Dasbo!$N$5:$N$6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33-4C2B-A1CE-97E90A432C64}"/>
            </c:ext>
          </c:extLst>
        </c:ser>
        <c:ser>
          <c:idx val="1"/>
          <c:order val="1"/>
          <c:tx>
            <c:strRef>
              <c:f>Dasbo!$O$4</c:f>
              <c:strCache>
                <c:ptCount val="1"/>
                <c:pt idx="0">
                  <c:v>Ingresos (Millones)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Dasbo!$O$5:$O$6</c:f>
              <c:numCache>
                <c:formatCode>General</c:formatCode>
                <c:ptCount val="2"/>
                <c:pt idx="0">
                  <c:v>1677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33-4C2B-A1CE-97E90A432C64}"/>
            </c:ext>
          </c:extLst>
        </c:ser>
        <c:ser>
          <c:idx val="2"/>
          <c:order val="2"/>
          <c:tx>
            <c:strRef>
              <c:f>Dasbo!$P$4</c:f>
              <c:strCache>
                <c:ptCount val="1"/>
                <c:pt idx="0">
                  <c:v>Operaciones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Dasbo!$P$5:$P$6</c:f>
              <c:numCache>
                <c:formatCode>General</c:formatCode>
                <c:ptCount val="2"/>
                <c:pt idx="0">
                  <c:v>20000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33-4C2B-A1CE-97E90A432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1801504"/>
        <c:axId val="1681805344"/>
      </c:barChart>
      <c:catAx>
        <c:axId val="168180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81805344"/>
        <c:crosses val="autoZero"/>
        <c:auto val="1"/>
        <c:lblAlgn val="ctr"/>
        <c:lblOffset val="100"/>
        <c:noMultiLvlLbl val="0"/>
      </c:catAx>
      <c:valAx>
        <c:axId val="168180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8180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>
                <a:effectLst/>
              </a:rPr>
              <a:t>Crecimiento de Ingresos 2023 vs 2024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Dasbo!$A$10</c:f>
              <c:strCache>
                <c:ptCount val="1"/>
                <c:pt idx="0">
                  <c:v>COLOMBIANITA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Dasbo!$B$9:$C$9</c:f>
              <c:strCache>
                <c:ptCount val="2"/>
                <c:pt idx="0">
                  <c:v>2023 (Millones)</c:v>
                </c:pt>
                <c:pt idx="1">
                  <c:v>2024 (Millones)</c:v>
                </c:pt>
              </c:strCache>
            </c:strRef>
          </c:cat>
          <c:val>
            <c:numRef>
              <c:f>Dasbo!$B$10:$C$10</c:f>
              <c:numCache>
                <c:formatCode>General</c:formatCode>
                <c:ptCount val="2"/>
                <c:pt idx="0">
                  <c:v>0</c:v>
                </c:pt>
                <c:pt idx="1">
                  <c:v>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DA-4C3C-BFA2-7CC2C8BDA1D2}"/>
            </c:ext>
          </c:extLst>
        </c:ser>
        <c:ser>
          <c:idx val="1"/>
          <c:order val="1"/>
          <c:tx>
            <c:strRef>
              <c:f>Dasbo!$A$11</c:f>
              <c:strCache>
                <c:ptCount val="1"/>
                <c:pt idx="0">
                  <c:v>MANZALOCA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Dasbo!$B$9:$C$9</c:f>
              <c:strCache>
                <c:ptCount val="2"/>
                <c:pt idx="0">
                  <c:v>2023 (Millones)</c:v>
                </c:pt>
                <c:pt idx="1">
                  <c:v>2024 (Millones)</c:v>
                </c:pt>
              </c:strCache>
            </c:strRef>
          </c:cat>
          <c:val>
            <c:numRef>
              <c:f>Dasbo!$B$11:$C$11</c:f>
              <c:numCache>
                <c:formatCode>General</c:formatCode>
                <c:ptCount val="2"/>
                <c:pt idx="0">
                  <c:v>0</c:v>
                </c:pt>
                <c:pt idx="1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DA-4C3C-BFA2-7CC2C8BDA1D2}"/>
            </c:ext>
          </c:extLst>
        </c:ser>
        <c:ser>
          <c:idx val="2"/>
          <c:order val="2"/>
          <c:tx>
            <c:strRef>
              <c:f>Dasbo!$A$12</c:f>
              <c:strCache>
                <c:ptCount val="1"/>
                <c:pt idx="0">
                  <c:v>MANGOSON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Dasbo!$B$9:$C$9</c:f>
              <c:strCache>
                <c:ptCount val="2"/>
                <c:pt idx="0">
                  <c:v>2023 (Millones)</c:v>
                </c:pt>
                <c:pt idx="1">
                  <c:v>2024 (Millones)</c:v>
                </c:pt>
              </c:strCache>
            </c:strRef>
          </c:cat>
          <c:val>
            <c:numRef>
              <c:f>Dasbo!$B$12:$C$12</c:f>
              <c:numCache>
                <c:formatCode>General</c:formatCode>
                <c:ptCount val="2"/>
                <c:pt idx="0">
                  <c:v>0</c:v>
                </c:pt>
                <c:pt idx="1">
                  <c:v>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DA-4C3C-BFA2-7CC2C8BDA1D2}"/>
            </c:ext>
          </c:extLst>
        </c:ser>
        <c:ser>
          <c:idx val="3"/>
          <c:order val="3"/>
          <c:tx>
            <c:strRef>
              <c:f>Dasbo!$A$13</c:f>
              <c:strCache>
                <c:ptCount val="1"/>
                <c:pt idx="0">
                  <c:v>NARANJITA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Dasbo!$B$9:$C$9</c:f>
              <c:strCache>
                <c:ptCount val="2"/>
                <c:pt idx="0">
                  <c:v>2023 (Millones)</c:v>
                </c:pt>
                <c:pt idx="1">
                  <c:v>2024 (Millones)</c:v>
                </c:pt>
              </c:strCache>
            </c:strRef>
          </c:cat>
          <c:val>
            <c:numRef>
              <c:f>Dasbo!$B$13:$C$13</c:f>
              <c:numCache>
                <c:formatCode>General</c:formatCode>
                <c:ptCount val="2"/>
                <c:pt idx="0">
                  <c:v>0</c:v>
                </c:pt>
                <c:pt idx="1">
                  <c:v>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DA-4C3C-BFA2-7CC2C8BDA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1828864"/>
        <c:axId val="1681827904"/>
      </c:barChart>
      <c:catAx>
        <c:axId val="168182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81827904"/>
        <c:crosses val="autoZero"/>
        <c:auto val="1"/>
        <c:lblAlgn val="ctr"/>
        <c:lblOffset val="100"/>
        <c:noMultiLvlLbl val="0"/>
      </c:catAx>
      <c:valAx>
        <c:axId val="168182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8182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Dasbo!$F$10</c:f>
              <c:strCache>
                <c:ptCount val="1"/>
                <c:pt idx="0">
                  <c:v>Municipios Activos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Dasbo!$E$11:$E$13</c:f>
              <c:strCache>
                <c:ptCount val="3"/>
                <c:pt idx="0">
                  <c:v>2022 Q1</c:v>
                </c:pt>
                <c:pt idx="1">
                  <c:v>2023 Q1</c:v>
                </c:pt>
                <c:pt idx="2">
                  <c:v>Meta 2024</c:v>
                </c:pt>
              </c:strCache>
            </c:strRef>
          </c:cat>
          <c:val>
            <c:numRef>
              <c:f>Dasbo!$F$11:$F$13</c:f>
              <c:numCache>
                <c:formatCode>General</c:formatCode>
                <c:ptCount val="3"/>
                <c:pt idx="0">
                  <c:v>2</c:v>
                </c:pt>
                <c:pt idx="1">
                  <c:v>930</c:v>
                </c:pt>
                <c:pt idx="2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F8-4F58-8292-344D1FB59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1785184"/>
        <c:axId val="1681786144"/>
      </c:lineChart>
      <c:catAx>
        <c:axId val="168178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81786144"/>
        <c:crosses val="autoZero"/>
        <c:auto val="1"/>
        <c:lblAlgn val="ctr"/>
        <c:lblOffset val="100"/>
        <c:noMultiLvlLbl val="0"/>
      </c:catAx>
      <c:valAx>
        <c:axId val="168178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8178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>
                <a:effectLst/>
              </a:rPr>
              <a:t>KPI 3: Eficiencia por Región</a:t>
            </a:r>
            <a:r>
              <a:rPr lang="es-CO"/>
              <a:t>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Dasbo!$I$10</c:f>
              <c:strCache>
                <c:ptCount val="1"/>
                <c:pt idx="0">
                  <c:v>Eficiencia ($)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Dasbo!$H$11:$H$16</c:f>
              <c:strCache>
                <c:ptCount val="6"/>
                <c:pt idx="0">
                  <c:v>Pacífico</c:v>
                </c:pt>
                <c:pt idx="1">
                  <c:v>Centro Sur</c:v>
                </c:pt>
                <c:pt idx="2">
                  <c:v>Eje Cafetero</c:v>
                </c:pt>
                <c:pt idx="3">
                  <c:v>Caribe</c:v>
                </c:pt>
                <c:pt idx="4">
                  <c:v>Llano</c:v>
                </c:pt>
                <c:pt idx="5">
                  <c:v>Centro Oriente</c:v>
                </c:pt>
              </c:strCache>
            </c:strRef>
          </c:cat>
          <c:val>
            <c:numRef>
              <c:f>Dasbo!$I$11:$I$16</c:f>
              <c:numCache>
                <c:formatCode>General</c:formatCode>
                <c:ptCount val="6"/>
                <c:pt idx="0">
                  <c:v>85315</c:v>
                </c:pt>
                <c:pt idx="1">
                  <c:v>84583</c:v>
                </c:pt>
                <c:pt idx="2">
                  <c:v>83991</c:v>
                </c:pt>
                <c:pt idx="3">
                  <c:v>83227</c:v>
                </c:pt>
                <c:pt idx="4">
                  <c:v>79989</c:v>
                </c:pt>
                <c:pt idx="5">
                  <c:v>74550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51-47A3-A8C1-2E180E893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810624"/>
        <c:axId val="1681811104"/>
      </c:radarChart>
      <c:catAx>
        <c:axId val="168181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81811104"/>
        <c:crosses val="autoZero"/>
        <c:auto val="1"/>
        <c:lblAlgn val="ctr"/>
        <c:lblOffset val="100"/>
        <c:noMultiLvlLbl val="0"/>
      </c:catAx>
      <c:valAx>
        <c:axId val="168181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8181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9526</xdr:rowOff>
    </xdr:from>
    <xdr:to>
      <xdr:col>2</xdr:col>
      <xdr:colOff>600075</xdr:colOff>
      <xdr:row>27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7EB8CE0-800B-D70B-3B99-0D4EF1E21A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19050</xdr:colOff>
      <xdr:row>16</xdr:row>
      <xdr:rowOff>9525</xdr:rowOff>
    </xdr:from>
    <xdr:to>
      <xdr:col>6</xdr:col>
      <xdr:colOff>800100</xdr:colOff>
      <xdr:row>26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2E708FE-C6D6-ED81-B7F2-BA5A8E8D85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23812</xdr:rowOff>
    </xdr:from>
    <xdr:to>
      <xdr:col>3</xdr:col>
      <xdr:colOff>9525</xdr:colOff>
      <xdr:row>36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DBB266D-F95D-44DC-4217-E90948337E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9524</xdr:colOff>
      <xdr:row>27</xdr:row>
      <xdr:rowOff>4763</xdr:rowOff>
    </xdr:from>
    <xdr:to>
      <xdr:col>6</xdr:col>
      <xdr:colOff>781050</xdr:colOff>
      <xdr:row>36</xdr:row>
      <xdr:rowOff>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2807025-5C5A-3562-F875-E43A11254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914400</xdr:colOff>
      <xdr:row>16</xdr:row>
      <xdr:rowOff>14287</xdr:rowOff>
    </xdr:from>
    <xdr:to>
      <xdr:col>10</xdr:col>
      <xdr:colOff>714375</xdr:colOff>
      <xdr:row>26</xdr:row>
      <xdr:rowOff>171450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40CE648-2AC3-50A9-4D17-69C4281C67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904875</xdr:colOff>
      <xdr:row>27</xdr:row>
      <xdr:rowOff>176212</xdr:rowOff>
    </xdr:from>
    <xdr:to>
      <xdr:col>9</xdr:col>
      <xdr:colOff>495300</xdr:colOff>
      <xdr:row>42</xdr:row>
      <xdr:rowOff>19050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2A732E2-634E-98BC-571D-1C81168C3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9525</xdr:colOff>
      <xdr:row>36</xdr:row>
      <xdr:rowOff>28575</xdr:rowOff>
    </xdr:from>
    <xdr:to>
      <xdr:col>4</xdr:col>
      <xdr:colOff>19050</xdr:colOff>
      <xdr:row>47</xdr:row>
      <xdr:rowOff>76200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DD1FF9D-C8FA-763F-FF72-27714A493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190500</xdr:colOff>
      <xdr:row>36</xdr:row>
      <xdr:rowOff>42862</xdr:rowOff>
    </xdr:from>
    <xdr:to>
      <xdr:col>6</xdr:col>
      <xdr:colOff>581025</xdr:colOff>
      <xdr:row>50</xdr:row>
      <xdr:rowOff>119062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1DB5824B-1D6B-CA77-C01C-F1BBFD885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B5DDA70-BB39-411E-B63E-23E84B5F5CF5}" autoFormatId="16" applyNumberFormats="0" applyBorderFormats="0" applyFontFormats="0" applyPatternFormats="0" applyAlignmentFormats="0" applyWidthHeightFormats="0">
  <queryTableRefresh nextId="10">
    <queryTableFields count="9">
      <queryTableField id="1" name="PERSPECTIVA" tableColumnId="1"/>
      <queryTableField id="2" name="OBJETIVO ESTRATEGICO" tableColumnId="2"/>
      <queryTableField id="3" name="KPI/INDICADOR" tableColumnId="3"/>
      <queryTableField id="4" name="RESULTADO 2022" tableColumnId="4"/>
      <queryTableField id="5" name="RESULTADO 2023" tableColumnId="5"/>
      <queryTableField id="6" name="VARIACION %" tableColumnId="6"/>
      <queryTableField id="7" name="META 2024" tableColumnId="7"/>
      <queryTableField id="8" name="ACCION A REALIZAR" tableColumnId="8"/>
      <queryTableField id="9" name="RESPONSABL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28A362-5DDF-4390-847E-AB5ACDA65296}" name="CMI_Gaseosas_Poderosas_2024" displayName="CMI_Gaseosas_Poderosas_2024" ref="A4:I12" tableType="queryTable" totalsRowShown="0">
  <autoFilter ref="A4:I12" xr:uid="{BD28A362-5DDF-4390-847E-AB5ACDA65296}"/>
  <tableColumns count="9">
    <tableColumn id="1" xr3:uid="{77BD41A5-D980-4A60-980E-EC450D53F227}" uniqueName="1" name="PERSPECTIVA" queryTableFieldId="1" dataDxfId="8"/>
    <tableColumn id="2" xr3:uid="{3834BFC6-4E70-4011-B4C6-24B1284C5CFE}" uniqueName="2" name="OBJETIVO ESTRATEGICO" queryTableFieldId="2" dataDxfId="7"/>
    <tableColumn id="3" xr3:uid="{94B70140-5FF0-481D-871A-BAD268AA1DD5}" uniqueName="3" name="KPI/INDICADOR" queryTableFieldId="3" dataDxfId="6"/>
    <tableColumn id="4" xr3:uid="{E312316A-56BD-4951-86BB-E0E81202B764}" uniqueName="4" name="RESULTADO 2022" queryTableFieldId="4" dataDxfId="5"/>
    <tableColumn id="5" xr3:uid="{BE018CE3-7DE5-4B4A-BFED-5E8D3344A6E1}" uniqueName="5" name="RESULTADO 2023" queryTableFieldId="5" dataDxfId="4" dataCellStyle="Moneda"/>
    <tableColumn id="6" xr3:uid="{27B5DF24-2299-460F-A0EE-E6FADA8BAF50}" uniqueName="6" name="VARIACION %" queryTableFieldId="6" dataDxfId="3"/>
    <tableColumn id="7" xr3:uid="{D6AFA74C-5821-49BC-84AF-36DF1CEC0DCE}" uniqueName="7" name="META 2024" queryTableFieldId="7" dataDxfId="2"/>
    <tableColumn id="8" xr3:uid="{3CB809E8-8200-4C1B-84FC-4F56D703F82A}" uniqueName="8" name="ACCION A REALIZAR" queryTableFieldId="8" dataDxfId="1"/>
    <tableColumn id="9" xr3:uid="{46A0B7AA-5314-4614-B4AE-C6FA8F239AAB}" uniqueName="9" name="RESPONSABL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34862-97C7-4BF3-8EB0-65708F346A62}">
  <dimension ref="A1:EG12"/>
  <sheetViews>
    <sheetView workbookViewId="0">
      <selection activeCell="B20" sqref="B20"/>
    </sheetView>
  </sheetViews>
  <sheetFormatPr baseColWidth="10" defaultRowHeight="15" x14ac:dyDescent="0.25"/>
  <cols>
    <col min="1" max="1" width="27.28515625" bestFit="1" customWidth="1"/>
    <col min="2" max="2" width="47.140625" bestFit="1" customWidth="1"/>
    <col min="3" max="3" width="37.7109375" customWidth="1"/>
    <col min="4" max="4" width="18.140625" customWidth="1"/>
    <col min="5" max="5" width="22.140625" customWidth="1"/>
    <col min="6" max="6" width="15.42578125" bestFit="1" customWidth="1"/>
    <col min="7" max="7" width="17.85546875" bestFit="1" customWidth="1"/>
    <col min="8" max="8" width="49.140625" customWidth="1"/>
    <col min="9" max="9" width="32.28515625" customWidth="1"/>
  </cols>
  <sheetData>
    <row r="1" spans="1:137" ht="24.75" x14ac:dyDescent="0.5">
      <c r="A1" s="27" t="s">
        <v>52</v>
      </c>
      <c r="B1" s="27"/>
      <c r="C1" s="27"/>
      <c r="D1" s="27"/>
      <c r="E1" s="27"/>
      <c r="F1" s="27"/>
      <c r="G1" s="27"/>
      <c r="H1" s="27"/>
      <c r="I1" s="27"/>
    </row>
    <row r="2" spans="1:137" x14ac:dyDescent="0.25">
      <c r="A2" s="28" t="s">
        <v>53</v>
      </c>
      <c r="B2" s="28"/>
      <c r="C2" s="28"/>
      <c r="D2" s="28" t="s">
        <v>54</v>
      </c>
      <c r="E2" s="28"/>
      <c r="F2" s="28"/>
      <c r="G2" s="28"/>
      <c r="H2" s="28"/>
      <c r="I2" s="28"/>
    </row>
    <row r="3" spans="1:137" x14ac:dyDescent="0.25">
      <c r="A3" s="29" t="s">
        <v>56</v>
      </c>
      <c r="B3" s="29"/>
      <c r="C3" s="29"/>
      <c r="D3" s="29" t="s">
        <v>55</v>
      </c>
      <c r="E3" s="29"/>
      <c r="F3" s="29"/>
      <c r="G3" s="29"/>
      <c r="H3" s="29"/>
      <c r="I3" s="29"/>
    </row>
    <row r="4" spans="1:137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</row>
    <row r="5" spans="1:137" s="1" customFormat="1" x14ac:dyDescent="0.25">
      <c r="A5" s="1" t="s">
        <v>9</v>
      </c>
      <c r="B5" s="1" t="s">
        <v>10</v>
      </c>
      <c r="C5" s="1" t="s">
        <v>11</v>
      </c>
      <c r="D5" s="12">
        <v>516200</v>
      </c>
      <c r="E5" s="14" t="s">
        <v>57</v>
      </c>
      <c r="F5" s="23">
        <v>3.2468300000000001</v>
      </c>
      <c r="G5" s="11" t="s">
        <v>63</v>
      </c>
      <c r="H5" s="1" t="s">
        <v>12</v>
      </c>
      <c r="I5" s="1" t="s">
        <v>13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</row>
    <row r="6" spans="1:137" s="1" customFormat="1" x14ac:dyDescent="0.25">
      <c r="A6" s="1" t="s">
        <v>9</v>
      </c>
      <c r="B6" s="1" t="s">
        <v>10</v>
      </c>
      <c r="C6" s="1" t="s">
        <v>14</v>
      </c>
      <c r="D6" s="13" t="s">
        <v>15</v>
      </c>
      <c r="E6" s="15" t="s">
        <v>16</v>
      </c>
      <c r="F6" s="13">
        <v>-0.16389999999999999</v>
      </c>
      <c r="G6" s="13" t="s">
        <v>17</v>
      </c>
      <c r="H6" s="1" t="s">
        <v>18</v>
      </c>
      <c r="I6" s="1" t="s">
        <v>19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</row>
    <row r="7" spans="1:137" s="2" customFormat="1" x14ac:dyDescent="0.25">
      <c r="A7" s="2" t="s">
        <v>20</v>
      </c>
      <c r="B7" s="2" t="s">
        <v>21</v>
      </c>
      <c r="C7" s="2" t="s">
        <v>22</v>
      </c>
      <c r="D7" s="7" t="s">
        <v>23</v>
      </c>
      <c r="E7" s="16">
        <v>3552360</v>
      </c>
      <c r="F7" s="19" t="s">
        <v>24</v>
      </c>
      <c r="G7" s="24" t="s">
        <v>64</v>
      </c>
      <c r="H7" s="2" t="s">
        <v>25</v>
      </c>
      <c r="I7" s="2" t="s">
        <v>26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</row>
    <row r="8" spans="1:137" s="2" customFormat="1" x14ac:dyDescent="0.25">
      <c r="A8" s="2" t="s">
        <v>20</v>
      </c>
      <c r="B8" s="2" t="s">
        <v>21</v>
      </c>
      <c r="C8" s="2" t="s">
        <v>27</v>
      </c>
      <c r="D8" s="7" t="s">
        <v>28</v>
      </c>
      <c r="E8" s="16" t="s">
        <v>29</v>
      </c>
      <c r="F8" s="19" t="s">
        <v>30</v>
      </c>
      <c r="G8" s="6" t="s">
        <v>62</v>
      </c>
      <c r="H8" s="2" t="s">
        <v>31</v>
      </c>
      <c r="I8" s="2" t="s">
        <v>32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</row>
    <row r="9" spans="1:137" s="3" customFormat="1" x14ac:dyDescent="0.25">
      <c r="A9" s="3" t="s">
        <v>33</v>
      </c>
      <c r="B9" s="3" t="s">
        <v>34</v>
      </c>
      <c r="C9" s="3" t="s">
        <v>35</v>
      </c>
      <c r="D9" s="9">
        <v>101000</v>
      </c>
      <c r="E9" s="17">
        <v>83854</v>
      </c>
      <c r="F9" s="20" t="s">
        <v>36</v>
      </c>
      <c r="G9" s="8">
        <v>95000</v>
      </c>
      <c r="H9" s="3" t="s">
        <v>37</v>
      </c>
      <c r="I9" s="3" t="s">
        <v>38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</row>
    <row r="10" spans="1:137" s="3" customFormat="1" x14ac:dyDescent="0.25">
      <c r="A10" s="3" t="s">
        <v>33</v>
      </c>
      <c r="B10" s="3" t="s">
        <v>34</v>
      </c>
      <c r="C10" s="3" t="s">
        <v>39</v>
      </c>
      <c r="D10" s="9">
        <v>221000</v>
      </c>
      <c r="E10" s="17">
        <v>404459400</v>
      </c>
      <c r="F10" s="20">
        <v>1.8291299999999999</v>
      </c>
      <c r="G10" s="9">
        <v>500000000</v>
      </c>
      <c r="H10" s="3" t="s">
        <v>40</v>
      </c>
      <c r="I10" s="3" t="s">
        <v>41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</row>
    <row r="11" spans="1:137" s="4" customFormat="1" x14ac:dyDescent="0.25">
      <c r="A11" s="4" t="s">
        <v>42</v>
      </c>
      <c r="B11" s="4" t="s">
        <v>43</v>
      </c>
      <c r="C11" s="4" t="s">
        <v>44</v>
      </c>
      <c r="D11" s="10" t="s">
        <v>45</v>
      </c>
      <c r="E11" s="18" t="s">
        <v>59</v>
      </c>
      <c r="F11" s="21" t="s">
        <v>24</v>
      </c>
      <c r="G11" s="10" t="s">
        <v>61</v>
      </c>
      <c r="H11" s="4" t="s">
        <v>46</v>
      </c>
      <c r="I11" s="4" t="s">
        <v>47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</row>
    <row r="12" spans="1:137" s="4" customFormat="1" x14ac:dyDescent="0.25">
      <c r="A12" s="4" t="s">
        <v>42</v>
      </c>
      <c r="B12" s="4" t="s">
        <v>43</v>
      </c>
      <c r="C12" s="4" t="s">
        <v>48</v>
      </c>
      <c r="D12" s="10" t="s">
        <v>49</v>
      </c>
      <c r="E12" s="18" t="s">
        <v>58</v>
      </c>
      <c r="F12" s="22">
        <v>3.8761999999999999</v>
      </c>
      <c r="G12" s="10" t="s">
        <v>60</v>
      </c>
      <c r="H12" s="4" t="s">
        <v>50</v>
      </c>
      <c r="I12" s="4" t="s">
        <v>51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</row>
  </sheetData>
  <mergeCells count="5">
    <mergeCell ref="A1:I1"/>
    <mergeCell ref="A2:C2"/>
    <mergeCell ref="D2:I2"/>
    <mergeCell ref="D3:I3"/>
    <mergeCell ref="A3:C3"/>
  </mergeCells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topLeftCell="A25" workbookViewId="0">
      <selection activeCell="L24" sqref="L24"/>
    </sheetView>
  </sheetViews>
  <sheetFormatPr baseColWidth="10" defaultColWidth="9.140625" defaultRowHeight="15" x14ac:dyDescent="0.25"/>
  <cols>
    <col min="1" max="1" width="32.5703125" bestFit="1" customWidth="1"/>
    <col min="2" max="2" width="14.5703125" bestFit="1" customWidth="1"/>
    <col min="5" max="5" width="22.85546875" bestFit="1" customWidth="1"/>
    <col min="6" max="6" width="8.42578125" bestFit="1" customWidth="1"/>
    <col min="7" max="7" width="17.7109375" bestFit="1" customWidth="1"/>
    <col min="8" max="8" width="32.85546875" bestFit="1" customWidth="1"/>
    <col min="9" max="9" width="14.28515625" bestFit="1" customWidth="1"/>
    <col min="11" max="11" width="24.28515625" bestFit="1" customWidth="1"/>
    <col min="12" max="12" width="10.42578125" customWidth="1"/>
    <col min="14" max="14" width="9.85546875" customWidth="1"/>
    <col min="15" max="15" width="18.140625" bestFit="1" customWidth="1"/>
    <col min="16" max="16" width="12.140625" bestFit="1" customWidth="1"/>
  </cols>
  <sheetData>
    <row r="1" spans="1:16" x14ac:dyDescent="0.25">
      <c r="A1" t="s">
        <v>65</v>
      </c>
    </row>
    <row r="2" spans="1:16" x14ac:dyDescent="0.25">
      <c r="A2" s="25" t="s">
        <v>66</v>
      </c>
      <c r="B2" s="25" t="s">
        <v>67</v>
      </c>
    </row>
    <row r="3" spans="1:16" x14ac:dyDescent="0.25">
      <c r="A3" s="25" t="s">
        <v>68</v>
      </c>
      <c r="B3" s="25">
        <v>4158</v>
      </c>
      <c r="E3" s="25" t="s">
        <v>79</v>
      </c>
      <c r="F3" s="25" t="s">
        <v>73</v>
      </c>
      <c r="H3" t="s">
        <v>87</v>
      </c>
      <c r="K3" t="s">
        <v>88</v>
      </c>
      <c r="N3" t="s">
        <v>81</v>
      </c>
    </row>
    <row r="4" spans="1:16" x14ac:dyDescent="0.25">
      <c r="A4" s="25" t="s">
        <v>69</v>
      </c>
      <c r="B4" s="25">
        <v>3910</v>
      </c>
      <c r="E4" s="25" t="s">
        <v>74</v>
      </c>
      <c r="F4" s="25">
        <v>1516200</v>
      </c>
      <c r="H4" s="25" t="s">
        <v>82</v>
      </c>
      <c r="I4" s="25" t="s">
        <v>73</v>
      </c>
      <c r="K4" s="25" t="s">
        <v>82</v>
      </c>
      <c r="L4" s="25" t="s">
        <v>89</v>
      </c>
      <c r="N4" s="25" t="s">
        <v>92</v>
      </c>
      <c r="O4" s="25" t="s">
        <v>91</v>
      </c>
      <c r="P4" s="25" t="s">
        <v>80</v>
      </c>
    </row>
    <row r="5" spans="1:16" x14ac:dyDescent="0.25">
      <c r="A5" s="25" t="s">
        <v>70</v>
      </c>
      <c r="B5" s="25">
        <v>3690</v>
      </c>
      <c r="E5" s="25" t="s">
        <v>75</v>
      </c>
      <c r="F5" s="25">
        <v>3369600</v>
      </c>
      <c r="H5" s="25" t="s">
        <v>83</v>
      </c>
      <c r="I5" s="25">
        <v>89481600</v>
      </c>
      <c r="K5" s="25" t="s">
        <v>90</v>
      </c>
      <c r="L5" s="25">
        <v>59942</v>
      </c>
      <c r="N5" s="25">
        <v>2023</v>
      </c>
      <c r="O5" s="25">
        <v>1677</v>
      </c>
      <c r="P5" s="25">
        <v>20000</v>
      </c>
    </row>
    <row r="6" spans="1:16" x14ac:dyDescent="0.25">
      <c r="A6" s="25" t="s">
        <v>71</v>
      </c>
      <c r="B6" s="25">
        <v>3526</v>
      </c>
      <c r="E6" s="25" t="s">
        <v>76</v>
      </c>
      <c r="F6" s="25">
        <v>4572600</v>
      </c>
      <c r="H6" s="25" t="s">
        <v>84</v>
      </c>
      <c r="I6" s="25">
        <v>77712000</v>
      </c>
      <c r="K6" s="25" t="s">
        <v>83</v>
      </c>
      <c r="L6" s="25">
        <v>55368</v>
      </c>
      <c r="N6" s="25">
        <v>2024</v>
      </c>
      <c r="O6" s="25" t="s">
        <v>93</v>
      </c>
      <c r="P6" s="25">
        <v>4</v>
      </c>
    </row>
    <row r="7" spans="1:16" x14ac:dyDescent="0.25">
      <c r="A7" s="25" t="s">
        <v>72</v>
      </c>
      <c r="B7" s="25">
        <v>3468</v>
      </c>
      <c r="E7" s="25" t="s">
        <v>77</v>
      </c>
      <c r="F7" s="25">
        <v>6404600</v>
      </c>
      <c r="H7" s="25" t="s">
        <v>85</v>
      </c>
      <c r="I7" s="25">
        <v>67008600</v>
      </c>
      <c r="K7" s="25" t="s">
        <v>84</v>
      </c>
      <c r="L7" s="25">
        <v>53576</v>
      </c>
    </row>
    <row r="8" spans="1:16" x14ac:dyDescent="0.25">
      <c r="A8" t="s">
        <v>94</v>
      </c>
      <c r="E8" s="25" t="s">
        <v>78</v>
      </c>
      <c r="F8" s="26">
        <v>8588800</v>
      </c>
      <c r="H8" s="25" t="s">
        <v>86</v>
      </c>
      <c r="I8" s="25">
        <v>43413600</v>
      </c>
      <c r="K8" s="25" t="s">
        <v>85</v>
      </c>
      <c r="L8" s="25">
        <v>49798</v>
      </c>
    </row>
    <row r="9" spans="1:16" x14ac:dyDescent="0.25">
      <c r="A9" s="25" t="s">
        <v>82</v>
      </c>
      <c r="B9" s="25" t="s">
        <v>95</v>
      </c>
      <c r="C9" s="25" t="s">
        <v>96</v>
      </c>
    </row>
    <row r="10" spans="1:16" x14ac:dyDescent="0.25">
      <c r="A10" s="25" t="s">
        <v>83</v>
      </c>
      <c r="B10" s="25" t="s">
        <v>97</v>
      </c>
      <c r="C10" s="25">
        <v>552</v>
      </c>
      <c r="E10" s="25" t="s">
        <v>99</v>
      </c>
      <c r="F10" s="25" t="s">
        <v>100</v>
      </c>
      <c r="H10" s="25" t="s">
        <v>104</v>
      </c>
      <c r="I10" s="25" t="s">
        <v>105</v>
      </c>
    </row>
    <row r="11" spans="1:16" x14ac:dyDescent="0.25">
      <c r="A11" s="25" t="s">
        <v>84</v>
      </c>
      <c r="B11" s="25" t="s">
        <v>98</v>
      </c>
      <c r="C11" s="25">
        <v>443</v>
      </c>
      <c r="E11" s="25" t="s">
        <v>101</v>
      </c>
      <c r="F11" s="25">
        <v>2</v>
      </c>
      <c r="H11" s="25" t="s">
        <v>106</v>
      </c>
      <c r="I11" s="25">
        <v>85315</v>
      </c>
    </row>
    <row r="12" spans="1:16" x14ac:dyDescent="0.25">
      <c r="A12" s="25" t="s">
        <v>85</v>
      </c>
      <c r="B12" s="25">
        <v>0</v>
      </c>
      <c r="C12" s="25">
        <v>406</v>
      </c>
      <c r="E12" s="25" t="s">
        <v>102</v>
      </c>
      <c r="F12" s="25">
        <v>930</v>
      </c>
      <c r="H12" s="25" t="s">
        <v>107</v>
      </c>
      <c r="I12" s="25">
        <v>84583</v>
      </c>
    </row>
    <row r="13" spans="1:16" x14ac:dyDescent="0.25">
      <c r="A13" s="25" t="s">
        <v>86</v>
      </c>
      <c r="B13" s="25">
        <v>0</v>
      </c>
      <c r="C13" s="25">
        <v>276</v>
      </c>
      <c r="E13" s="25" t="s">
        <v>103</v>
      </c>
      <c r="F13" s="25">
        <v>1200</v>
      </c>
      <c r="H13" s="25" t="s">
        <v>108</v>
      </c>
      <c r="I13" s="25">
        <v>83991</v>
      </c>
    </row>
    <row r="14" spans="1:16" x14ac:dyDescent="0.25">
      <c r="H14" s="25" t="s">
        <v>109</v>
      </c>
      <c r="I14" s="25">
        <v>83227</v>
      </c>
    </row>
    <row r="15" spans="1:16" x14ac:dyDescent="0.25">
      <c r="H15" s="25" t="s">
        <v>110</v>
      </c>
      <c r="I15" s="25">
        <v>79989</v>
      </c>
    </row>
    <row r="16" spans="1:16" x14ac:dyDescent="0.25">
      <c r="H16" s="25" t="s">
        <v>111</v>
      </c>
      <c r="I16" s="25">
        <v>74550</v>
      </c>
    </row>
  </sheetData>
  <pageMargins left="0.7" right="0.7" top="0.75" bottom="0.75" header="0.3" footer="0.3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E481A1-9F4C-4AB7-8843-AABF5F0D58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CMI_2024</vt:lpstr>
      <vt:lpstr>Dasbo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andres del rio layos</dc:creator>
  <cp:lastModifiedBy>Samuel Del Rio</cp:lastModifiedBy>
  <dcterms:created xsi:type="dcterms:W3CDTF">2015-06-05T18:19:34Z</dcterms:created>
  <dcterms:modified xsi:type="dcterms:W3CDTF">2025-10-15T21:34:00Z</dcterms:modified>
</cp:coreProperties>
</file>